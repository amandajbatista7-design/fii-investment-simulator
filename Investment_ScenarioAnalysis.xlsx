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135c184cb63903/Área de Trabalho/excel com IA/"/>
    </mc:Choice>
  </mc:AlternateContent>
  <xr:revisionPtr revIDLastSave="10" documentId="8_{34A9EB4A-6D90-4A57-9443-3A5BAE181E8D}" xr6:coauthVersionLast="47" xr6:coauthVersionMax="47" xr10:uidLastSave="{5CDAC1D3-3A51-460F-99B8-378FD3966CDE}"/>
  <bookViews>
    <workbookView xWindow="9510" yWindow="0" windowWidth="9780" windowHeight="11370" tabRatio="254" xr2:uid="{66226948-6A4A-4EAE-96ED-1AD53F3329FC}"/>
  </bookViews>
  <sheets>
    <sheet name="Sheet1" sheetId="1" r:id="rId1"/>
    <sheet name="Scenario_Analysis" sheetId="3" r:id="rId2"/>
    <sheet name="Profile" sheetId="2" r:id="rId3"/>
  </sheets>
  <definedNames>
    <definedName name="_xlnm._FilterDatabase" localSheetId="0" hidden="1">Sheet1!$B$58:$D$61</definedName>
    <definedName name="equity">Sheet1!$D$19</definedName>
    <definedName name="MonthlyInvestment">Sheet1!$D$16</definedName>
    <definedName name="PortfolioYield">Sheet1!$D$11</definedName>
    <definedName name="ReturnRate">Sheet1!$D$18</definedName>
    <definedName name="suggestion">Sheet1!$D$12</definedName>
    <definedName name="Years">Sheet1!$D$17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10" i="3"/>
  <c r="B11" i="3"/>
  <c r="B12" i="3"/>
  <c r="B13" i="3"/>
  <c r="B14" i="3"/>
  <c r="B9" i="3"/>
  <c r="C5" i="3"/>
  <c r="C4" i="3"/>
  <c r="D4" i="3" s="1"/>
  <c r="C3" i="3"/>
  <c r="D3" i="3" s="1"/>
  <c r="A15" i="2"/>
  <c r="A16" i="2"/>
  <c r="A17" i="2"/>
  <c r="A18" i="2"/>
  <c r="A19" i="2"/>
  <c r="A20" i="2"/>
  <c r="A10" i="2"/>
  <c r="A11" i="2"/>
  <c r="A12" i="2"/>
  <c r="A13" i="2"/>
  <c r="A14" i="2"/>
  <c r="A9" i="2"/>
  <c r="A8" i="2"/>
  <c r="A4" i="2"/>
  <c r="A5" i="2"/>
  <c r="A6" i="2"/>
  <c r="A7" i="2"/>
  <c r="A3" i="2"/>
  <c r="D31" i="1"/>
  <c r="C25" i="1"/>
  <c r="D25" i="1" s="1"/>
  <c r="C26" i="1"/>
  <c r="D26" i="1" s="1"/>
  <c r="C27" i="1"/>
  <c r="D27" i="1" s="1"/>
  <c r="C28" i="1"/>
  <c r="D28" i="1" s="1"/>
  <c r="C24" i="1"/>
  <c r="D24" i="1" s="1"/>
  <c r="D19" i="1"/>
  <c r="D20" i="1" s="1"/>
  <c r="D12" i="1"/>
  <c r="D5" i="3" l="1"/>
  <c r="B61" i="1" s="1" a="1"/>
  <c r="B61" i="1" s="1"/>
  <c r="C35" i="1"/>
  <c r="D35" i="1" s="1"/>
  <c r="C39" i="1"/>
  <c r="D39" i="1" s="1"/>
  <c r="C34" i="1"/>
  <c r="D34" i="1" s="1"/>
  <c r="C38" i="1"/>
  <c r="D38" i="1" s="1"/>
  <c r="C37" i="1"/>
  <c r="D37" i="1" s="1"/>
  <c r="C36" i="1"/>
  <c r="D36" i="1" s="1"/>
  <c r="D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<sst xmlns="http://schemas.openxmlformats.org/spreadsheetml/2006/main" count="90" uniqueCount="50">
  <si>
    <t>How much to invest?</t>
  </si>
  <si>
    <t>How much in 2 years?</t>
  </si>
  <si>
    <t>How much in 5 years?</t>
  </si>
  <si>
    <t>How much in 10 years?</t>
  </si>
  <si>
    <t>How much in 20 years?</t>
  </si>
  <si>
    <t>How much in 30 years?</t>
  </si>
  <si>
    <t>SETTINGS</t>
  </si>
  <si>
    <t>PROFILE</t>
  </si>
  <si>
    <t>%</t>
  </si>
  <si>
    <t>KEY</t>
  </si>
  <si>
    <t>Salary</t>
  </si>
  <si>
    <t>Portfolio Yield</t>
  </si>
  <si>
    <t>Suggested Investment</t>
  </si>
  <si>
    <t>MONTHLY INVESTMENT</t>
  </si>
  <si>
    <t>For how long?</t>
  </si>
  <si>
    <t>Monthly return rate</t>
  </si>
  <si>
    <t>Accumulated equity</t>
  </si>
  <si>
    <t>Monthly dividends</t>
  </si>
  <si>
    <t>MONTHLY INVESTMENT - PROJECTIONS</t>
  </si>
  <si>
    <t>Monthly dividend</t>
  </si>
  <si>
    <t>Monthly investment amount</t>
  </si>
  <si>
    <t>TYPE OF REIT(FII)</t>
  </si>
  <si>
    <t>Paper</t>
  </si>
  <si>
    <t>Brick</t>
  </si>
  <si>
    <t>Hybrid</t>
  </si>
  <si>
    <t>Funds of Funds</t>
  </si>
  <si>
    <t>Development</t>
  </si>
  <si>
    <t>Hospitality</t>
  </si>
  <si>
    <t>Total</t>
  </si>
  <si>
    <t>Conservative</t>
  </si>
  <si>
    <t>Moderate</t>
  </si>
  <si>
    <t>Aggressive</t>
  </si>
  <si>
    <t>TYPE OF REIT (FII)</t>
  </si>
  <si>
    <t>Value</t>
  </si>
  <si>
    <t>Period</t>
  </si>
  <si>
    <t>Accumulated Amount</t>
  </si>
  <si>
    <t>Suggested %</t>
  </si>
  <si>
    <t>Amount</t>
  </si>
  <si>
    <t>SCENARIO ANALYSIS</t>
  </si>
  <si>
    <t>Scenario</t>
  </si>
  <si>
    <t>Monthly Return Rate</t>
  </si>
  <si>
    <t>Accumulated in 5 Years</t>
  </si>
  <si>
    <t>Monthly Dividend</t>
  </si>
  <si>
    <t>Worst Case</t>
  </si>
  <si>
    <t>Base Case</t>
  </si>
  <si>
    <t>Best Case</t>
  </si>
  <si>
    <t>SCENARIO</t>
  </si>
  <si>
    <t>Accumulated in 5 years</t>
  </si>
  <si>
    <t>Month</t>
  </si>
  <si>
    <t>Accumulated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</si>
</sst>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3F3F7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theme="7" tint="-0.499984740745262"/>
      </left>
      <right style="thick">
        <color theme="7" tint="0.59996337778862885"/>
      </right>
      <top style="thick">
        <color theme="7" tint="-0.499984740745262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-0.499984740745262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-0.499984740745262"/>
      </right>
      <top style="thick">
        <color theme="7" tint="-0.499984740745262"/>
      </top>
      <bottom style="thick">
        <color theme="7" tint="0.59996337778862885"/>
      </bottom>
      <diagonal/>
    </border>
    <border>
      <left style="thick">
        <color theme="7" tint="-0.499984740745262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-0.499984740745262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-0.499984740745262"/>
      </left>
      <right style="thick">
        <color theme="7" tint="0.59996337778862885"/>
      </right>
      <top style="thick">
        <color theme="7" tint="0.59996337778862885"/>
      </top>
      <bottom style="thick">
        <color theme="7" tint="-0.499984740745262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-0.499984740745262"/>
      </bottom>
      <diagonal/>
    </border>
    <border>
      <left style="thick">
        <color theme="7" tint="0.59996337778862885"/>
      </left>
      <right style="thick">
        <color theme="7" tint="-0.499984740745262"/>
      </right>
      <top style="thick">
        <color theme="7" tint="0.59996337778862885"/>
      </top>
      <bottom style="thick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7" tint="0.59996337778862885"/>
      </bottom>
      <diagonal/>
    </border>
    <border>
      <left/>
      <right/>
      <top style="thick">
        <color theme="7" tint="-0.499984740745262"/>
      </top>
      <bottom style="thick">
        <color theme="7" tint="0.59996337778862885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0.59996337778862885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-0.499984740745262"/>
      </left>
      <right/>
      <top/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-0.499984740745262"/>
      </right>
      <top/>
      <bottom style="thick">
        <color theme="7" tint="0.59996337778862885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-0.499984740745262"/>
      </bottom>
      <diagonal/>
    </border>
    <border>
      <left/>
      <right style="thin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8" tint="-0.499984740745262"/>
      </left>
      <right style="thick">
        <color theme="8" tint="0.79998168889431442"/>
      </right>
      <top style="thick">
        <color theme="8" tint="-0.499984740745262"/>
      </top>
      <bottom style="thick">
        <color theme="8" tint="0.79998168889431442"/>
      </bottom>
      <diagonal/>
    </border>
    <border>
      <left style="thick">
        <color theme="8" tint="0.79998168889431442"/>
      </left>
      <right style="thick">
        <color theme="8" tint="0.79998168889431442"/>
      </right>
      <top style="thick">
        <color theme="8" tint="-0.499984740745262"/>
      </top>
      <bottom style="thick">
        <color theme="8" tint="0.79998168889431442"/>
      </bottom>
      <diagonal/>
    </border>
    <border>
      <left style="thick">
        <color theme="8" tint="0.79998168889431442"/>
      </left>
      <right style="thick">
        <color theme="8" tint="-0.499984740745262"/>
      </right>
      <top style="thick">
        <color theme="8" tint="-0.499984740745262"/>
      </top>
      <bottom style="thick">
        <color theme="8" tint="0.79998168889431442"/>
      </bottom>
      <diagonal/>
    </border>
    <border>
      <left style="thick">
        <color theme="8" tint="-0.499984740745262"/>
      </left>
      <right style="thick">
        <color theme="8" tint="0.79998168889431442"/>
      </right>
      <top style="thick">
        <color theme="8" tint="0.79998168889431442"/>
      </top>
      <bottom style="thick">
        <color theme="8" tint="0.79998168889431442"/>
      </bottom>
      <diagonal/>
    </border>
    <border>
      <left style="thick">
        <color theme="8" tint="0.79998168889431442"/>
      </left>
      <right style="thick">
        <color theme="8" tint="0.79998168889431442"/>
      </right>
      <top style="thick">
        <color theme="8" tint="0.79998168889431442"/>
      </top>
      <bottom style="thick">
        <color theme="8" tint="0.79998168889431442"/>
      </bottom>
      <diagonal/>
    </border>
    <border>
      <left style="thick">
        <color theme="8" tint="0.79998168889431442"/>
      </left>
      <right style="thick">
        <color theme="8" tint="-0.499984740745262"/>
      </right>
      <top style="thick">
        <color theme="8" tint="0.79998168889431442"/>
      </top>
      <bottom style="thick">
        <color theme="8" tint="0.79998168889431442"/>
      </bottom>
      <diagonal/>
    </border>
    <border>
      <left style="thick">
        <color theme="8" tint="-0.499984740745262"/>
      </left>
      <right style="thick">
        <color theme="8" tint="0.79998168889431442"/>
      </right>
      <top style="thick">
        <color theme="8" tint="0.79998168889431442"/>
      </top>
      <bottom style="thick">
        <color theme="8" tint="-0.499984740745262"/>
      </bottom>
      <diagonal/>
    </border>
    <border>
      <left style="thick">
        <color theme="8" tint="0.79998168889431442"/>
      </left>
      <right style="thick">
        <color theme="8" tint="0.79998168889431442"/>
      </right>
      <top style="thick">
        <color theme="8" tint="0.79998168889431442"/>
      </top>
      <bottom style="thick">
        <color theme="8" tint="-0.499984740745262"/>
      </bottom>
      <diagonal/>
    </border>
    <border>
      <left style="thick">
        <color theme="8" tint="0.79998168889431442"/>
      </left>
      <right style="thick">
        <color theme="8" tint="-0.499984740745262"/>
      </right>
      <top style="thick">
        <color theme="8" tint="0.79998168889431442"/>
      </top>
      <bottom style="thick">
        <color theme="8" tint="-0.499984740745262"/>
      </bottom>
      <diagonal/>
    </border>
    <border>
      <left style="thick">
        <color theme="8" tint="-0.499984740745262"/>
      </left>
      <right/>
      <top style="thick">
        <color theme="8" tint="0.79998168889431442"/>
      </top>
      <bottom style="thick">
        <color theme="8" tint="0.79998168889431442"/>
      </bottom>
      <diagonal/>
    </border>
    <border>
      <left/>
      <right style="thick">
        <color theme="8" tint="-0.499984740745262"/>
      </right>
      <top style="thick">
        <color theme="8" tint="0.79998168889431442"/>
      </top>
      <bottom style="thick">
        <color theme="8" tint="0.79998168889431442"/>
      </bottom>
      <diagonal/>
    </border>
    <border>
      <left/>
      <right/>
      <top style="thick">
        <color theme="8" tint="0.79998168889431442"/>
      </top>
      <bottom style="thick">
        <color theme="8" tint="0.7999816888943144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84">
    <xf numFmtId="0" fontId="0" fillId="0" borderId="0" xfId="0"/>
    <xf numFmtId="0" fontId="5" fillId="0" borderId="0" xfId="0" applyFont="1"/>
    <xf numFmtId="164" fontId="0" fillId="5" borderId="6" xfId="1" applyNumberFormat="1" applyFon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64" fontId="0" fillId="5" borderId="9" xfId="1" applyNumberFormat="1" applyFon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4" fillId="5" borderId="10" xfId="0" applyNumberFormat="1" applyFont="1" applyFill="1" applyBorder="1" applyAlignment="1">
      <alignment horizontal="center"/>
    </xf>
    <xf numFmtId="0" fontId="4" fillId="6" borderId="0" xfId="0" applyFont="1" applyFill="1"/>
    <xf numFmtId="0" fontId="0" fillId="6" borderId="0" xfId="0" applyFill="1"/>
    <xf numFmtId="164" fontId="0" fillId="0" borderId="0" xfId="0" applyNumberFormat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/>
    <xf numFmtId="0" fontId="4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4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8" fillId="4" borderId="16" xfId="0" applyFont="1" applyFill="1" applyBorder="1"/>
    <xf numFmtId="0" fontId="6" fillId="4" borderId="17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15" xfId="0" applyFont="1" applyFill="1" applyBorder="1"/>
    <xf numFmtId="0" fontId="11" fillId="4" borderId="7" xfId="0" applyFont="1" applyFill="1" applyBorder="1" applyAlignment="1">
      <alignment horizontal="center"/>
    </xf>
    <xf numFmtId="0" fontId="6" fillId="4" borderId="6" xfId="0" applyFont="1" applyFill="1" applyBorder="1"/>
    <xf numFmtId="0" fontId="6" fillId="4" borderId="7" xfId="0" applyFont="1" applyFill="1" applyBorder="1"/>
    <xf numFmtId="0" fontId="6" fillId="4" borderId="5" xfId="0" applyFont="1" applyFill="1" applyBorder="1" applyAlignment="1">
      <alignment horizontal="left" indent="2"/>
    </xf>
    <xf numFmtId="0" fontId="4" fillId="6" borderId="0" xfId="0" applyFont="1" applyFill="1" applyAlignment="1">
      <alignment horizontal="left" indent="2"/>
    </xf>
    <xf numFmtId="0" fontId="0" fillId="0" borderId="0" xfId="0" applyAlignment="1">
      <alignment horizontal="left" indent="2"/>
    </xf>
    <xf numFmtId="0" fontId="0" fillId="6" borderId="0" xfId="0" applyFill="1" applyAlignment="1">
      <alignment horizontal="left" indent="2"/>
    </xf>
    <xf numFmtId="0" fontId="9" fillId="5" borderId="5" xfId="0" applyFont="1" applyFill="1" applyBorder="1" applyAlignment="1">
      <alignment horizontal="left" indent="2"/>
    </xf>
    <xf numFmtId="0" fontId="9" fillId="5" borderId="8" xfId="0" applyFont="1" applyFill="1" applyBorder="1" applyAlignment="1">
      <alignment horizontal="left" indent="2"/>
    </xf>
    <xf numFmtId="0" fontId="6" fillId="4" borderId="16" xfId="0" applyFont="1" applyFill="1" applyBorder="1" applyAlignment="1">
      <alignment horizontal="left" indent="2"/>
    </xf>
    <xf numFmtId="0" fontId="9" fillId="7" borderId="5" xfId="0" applyFont="1" applyFill="1" applyBorder="1" applyAlignment="1">
      <alignment horizontal="left" indent="2"/>
    </xf>
    <xf numFmtId="10" fontId="9" fillId="7" borderId="6" xfId="0" applyNumberFormat="1" applyFont="1" applyFill="1" applyBorder="1" applyAlignment="1">
      <alignment horizontal="center"/>
    </xf>
    <xf numFmtId="8" fontId="0" fillId="7" borderId="6" xfId="0" applyNumberFormat="1" applyFill="1" applyBorder="1" applyAlignment="1">
      <alignment horizontal="center"/>
    </xf>
    <xf numFmtId="8" fontId="0" fillId="7" borderId="7" xfId="0" applyNumberFormat="1" applyFill="1" applyBorder="1" applyAlignment="1">
      <alignment horizontal="center"/>
    </xf>
    <xf numFmtId="0" fontId="9" fillId="8" borderId="5" xfId="0" applyFont="1" applyFill="1" applyBorder="1" applyAlignment="1">
      <alignment horizontal="left" indent="2"/>
    </xf>
    <xf numFmtId="9" fontId="9" fillId="8" borderId="6" xfId="0" applyNumberFormat="1" applyFont="1" applyFill="1" applyBorder="1" applyAlignment="1">
      <alignment horizontal="center"/>
    </xf>
    <xf numFmtId="8" fontId="0" fillId="8" borderId="6" xfId="0" applyNumberFormat="1" applyFill="1" applyBorder="1" applyAlignment="1">
      <alignment horizontal="center"/>
    </xf>
    <xf numFmtId="8" fontId="0" fillId="8" borderId="7" xfId="0" applyNumberFormat="1" applyFill="1" applyBorder="1" applyAlignment="1">
      <alignment horizontal="center"/>
    </xf>
    <xf numFmtId="0" fontId="9" fillId="9" borderId="8" xfId="0" applyFont="1" applyFill="1" applyBorder="1" applyAlignment="1">
      <alignment horizontal="left" indent="2"/>
    </xf>
    <xf numFmtId="10" fontId="9" fillId="9" borderId="9" xfId="0" applyNumberFormat="1" applyFont="1" applyFill="1" applyBorder="1" applyAlignment="1">
      <alignment horizontal="center"/>
    </xf>
    <xf numFmtId="8" fontId="0" fillId="9" borderId="9" xfId="0" applyNumberFormat="1" applyFill="1" applyBorder="1" applyAlignment="1">
      <alignment horizontal="center"/>
    </xf>
    <xf numFmtId="8" fontId="0" fillId="9" borderId="10" xfId="0" applyNumberFormat="1" applyFill="1" applyBorder="1" applyAlignment="1">
      <alignment horizontal="center"/>
    </xf>
    <xf numFmtId="0" fontId="12" fillId="3" borderId="20" xfId="4" applyFont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12" fillId="3" borderId="7" xfId="4" applyFon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6" fillId="4" borderId="21" xfId="0" applyFont="1" applyFill="1" applyBorder="1" applyAlignment="1">
      <alignment horizontal="left" indent="2"/>
    </xf>
    <xf numFmtId="8" fontId="0" fillId="0" borderId="0" xfId="0" applyNumberFormat="1"/>
    <xf numFmtId="164" fontId="0" fillId="0" borderId="10" xfId="0" applyNumberFormat="1" applyBorder="1" applyAlignment="1">
      <alignment horizontal="center"/>
    </xf>
    <xf numFmtId="164" fontId="0" fillId="0" borderId="27" xfId="1" applyNumberFormat="1" applyFont="1" applyBorder="1" applyAlignment="1">
      <alignment horizontal="center"/>
    </xf>
    <xf numFmtId="10" fontId="0" fillId="0" borderId="27" xfId="0" applyNumberFormat="1" applyBorder="1" applyAlignment="1">
      <alignment horizontal="center"/>
    </xf>
    <xf numFmtId="0" fontId="6" fillId="10" borderId="31" xfId="0" applyFont="1" applyFill="1" applyBorder="1" applyAlignment="1">
      <alignment horizontal="left"/>
    </xf>
    <xf numFmtId="0" fontId="6" fillId="10" borderId="33" xfId="0" applyFont="1" applyFill="1" applyBorder="1" applyAlignment="1">
      <alignment horizontal="left"/>
    </xf>
    <xf numFmtId="0" fontId="11" fillId="10" borderId="32" xfId="0" applyFont="1" applyFill="1" applyBorder="1" applyAlignment="1">
      <alignment horizontal="center"/>
    </xf>
    <xf numFmtId="0" fontId="6" fillId="4" borderId="18" xfId="3" applyFont="1" applyFill="1" applyBorder="1" applyAlignment="1">
      <alignment horizontal="left" indent="2"/>
    </xf>
    <xf numFmtId="0" fontId="6" fillId="4" borderId="19" xfId="3" applyFont="1" applyFill="1" applyBorder="1" applyAlignment="1">
      <alignment horizontal="left" indent="2"/>
    </xf>
    <xf numFmtId="0" fontId="10" fillId="5" borderId="0" xfId="0" applyFont="1" applyFill="1" applyAlignment="1">
      <alignment horizontal="left" indent="2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left" indent="2"/>
    </xf>
    <xf numFmtId="0" fontId="10" fillId="5" borderId="9" xfId="0" applyFont="1" applyFill="1" applyBorder="1" applyAlignment="1">
      <alignment horizontal="left" indent="2"/>
    </xf>
    <xf numFmtId="0" fontId="9" fillId="5" borderId="25" xfId="0" applyFont="1" applyFill="1" applyBorder="1" applyAlignment="1">
      <alignment horizontal="left" indent="2"/>
    </xf>
    <xf numFmtId="0" fontId="9" fillId="5" borderId="26" xfId="0" applyFont="1" applyFill="1" applyBorder="1" applyAlignment="1">
      <alignment horizontal="left" indent="2"/>
    </xf>
    <xf numFmtId="0" fontId="9" fillId="5" borderId="28" xfId="0" applyFont="1" applyFill="1" applyBorder="1" applyAlignment="1">
      <alignment horizontal="left" indent="2"/>
    </xf>
    <xf numFmtId="0" fontId="9" fillId="5" borderId="29" xfId="0" applyFont="1" applyFill="1" applyBorder="1" applyAlignment="1">
      <alignment horizontal="left" indent="2"/>
    </xf>
    <xf numFmtId="0" fontId="8" fillId="4" borderId="13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left" indent="2"/>
    </xf>
    <xf numFmtId="0" fontId="9" fillId="5" borderId="6" xfId="0" applyFont="1" applyFill="1" applyBorder="1" applyAlignment="1">
      <alignment horizontal="left" indent="2"/>
    </xf>
    <xf numFmtId="0" fontId="10" fillId="5" borderId="5" xfId="0" applyFont="1" applyFill="1" applyBorder="1" applyAlignment="1">
      <alignment horizontal="left" indent="2"/>
    </xf>
    <xf numFmtId="0" fontId="10" fillId="5" borderId="6" xfId="0" applyFont="1" applyFill="1" applyBorder="1" applyAlignment="1">
      <alignment horizontal="left" indent="2"/>
    </xf>
    <xf numFmtId="0" fontId="8" fillId="10" borderId="22" xfId="0" applyFont="1" applyFill="1" applyBorder="1" applyAlignment="1">
      <alignment horizontal="center"/>
    </xf>
    <xf numFmtId="0" fontId="8" fillId="10" borderId="23" xfId="0" applyFont="1" applyFill="1" applyBorder="1" applyAlignment="1">
      <alignment horizontal="center"/>
    </xf>
    <xf numFmtId="0" fontId="8" fillId="10" borderId="24" xfId="0" applyFont="1" applyFill="1" applyBorder="1" applyAlignment="1">
      <alignment horizontal="center"/>
    </xf>
    <xf numFmtId="164" fontId="0" fillId="5" borderId="30" xfId="1" applyNumberFormat="1" applyFont="1" applyFill="1" applyBorder="1" applyAlignment="1">
      <alignment horizontal="center"/>
    </xf>
    <xf numFmtId="164" fontId="4" fillId="5" borderId="0" xfId="0" applyNumberFormat="1" applyFont="1" applyFill="1" applyAlignment="1">
      <alignment horizontal="center"/>
    </xf>
  </cellXfs>
  <cellStyles count="5">
    <cellStyle name="Currency" xfId="1" builtinId="4"/>
    <cellStyle name="Input" xfId="4" builtinId="20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FFEAA7"/>
      <color rgb="FFE9DC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BA-4A70-A638-3CA6F04D4B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BA-4A70-A638-3CA6F04D4B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BA-4A70-A638-3CA6F04D4B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BA-4A70-A638-3CA6F04D4B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BA-4A70-A638-3CA6F04D4B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BA-4A70-A638-3CA6F04D4B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Sheet1!$B$34:$B$39</c:f>
              <c:strCache>
                <c:ptCount val="6"/>
                <c:pt idx="0">
                  <c:v>Paper</c:v>
                </c:pt>
                <c:pt idx="1">
                  <c:v>Brick</c:v>
                </c:pt>
                <c:pt idx="2">
                  <c:v>Hybrid</c:v>
                </c:pt>
                <c:pt idx="3">
                  <c:v>Funds of Funds</c:v>
                </c:pt>
                <c:pt idx="4">
                  <c:v>Development</c:v>
                </c:pt>
                <c:pt idx="5">
                  <c:v>Hospitality</c:v>
                </c:pt>
              </c:strCache>
            </c:strRef>
          </c:cat>
          <c:val>
            <c:numRef>
              <c:f>Sheet1!$C$34:$C$39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B-4712-AD16-4B0F10642C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6.5040870678693311E-2"/>
          <c:y val="0.24505454085253803"/>
          <c:w val="0.16291606456640437"/>
          <c:h val="0.509890918294923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Scenario_Analysis!$B$8</c:f>
              <c:strCache>
                <c:ptCount val="1"/>
                <c:pt idx="0">
                  <c:v>Accumulated Value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Scenario_Analysis!$B$9:$B$68</c:f>
              <c:numCache>
                <c:formatCode>"$"#,##0.00_);[Red]\("$"#,##0.00\)</c:formatCode>
                <c:ptCount val="60"/>
                <c:pt idx="0">
                  <c:v>900.0000000000008</c:v>
                </c:pt>
                <c:pt idx="1">
                  <c:v>1809.0000000000007</c:v>
                </c:pt>
                <c:pt idx="2">
                  <c:v>2727.089999999992</c:v>
                </c:pt>
                <c:pt idx="3">
                  <c:v>3654.3609000000019</c:v>
                </c:pt>
                <c:pt idx="4">
                  <c:v>4590.9045089999936</c:v>
                </c:pt>
                <c:pt idx="5">
                  <c:v>5536.8135540900121</c:v>
                </c:pt>
                <c:pt idx="6">
                  <c:v>6492.1816896308846</c:v>
                </c:pt>
                <c:pt idx="7">
                  <c:v>7457.1035065272199</c:v>
                </c:pt>
                <c:pt idx="8">
                  <c:v>8431.6745415924997</c:v>
                </c:pt>
                <c:pt idx="9">
                  <c:v>9415.9912870084263</c:v>
                </c:pt>
                <c:pt idx="10">
                  <c:v>10410.15119987849</c:v>
                </c:pt>
                <c:pt idx="11">
                  <c:v>11414.25271187728</c:v>
                </c:pt>
                <c:pt idx="12">
                  <c:v>12428.395238996056</c:v>
                </c:pt>
                <c:pt idx="13">
                  <c:v>13452.679191386029</c:v>
                </c:pt>
                <c:pt idx="14">
                  <c:v>14487.20598329986</c:v>
                </c:pt>
                <c:pt idx="15">
                  <c:v>15532.078043132891</c:v>
                </c:pt>
                <c:pt idx="16">
                  <c:v>16587.398823564225</c:v>
                </c:pt>
                <c:pt idx="17">
                  <c:v>17653.27281179987</c:v>
                </c:pt>
                <c:pt idx="18">
                  <c:v>18729.805539917845</c:v>
                </c:pt>
                <c:pt idx="19">
                  <c:v>19817.103595317036</c:v>
                </c:pt>
                <c:pt idx="20">
                  <c:v>20915.274631270193</c:v>
                </c:pt>
                <c:pt idx="21">
                  <c:v>22024.427377582924</c:v>
                </c:pt>
                <c:pt idx="22">
                  <c:v>23144.671651358734</c:v>
                </c:pt>
                <c:pt idx="23">
                  <c:v>24276.118367872346</c:v>
                </c:pt>
                <c:pt idx="24">
                  <c:v>25418.879551551083</c:v>
                </c:pt>
                <c:pt idx="25">
                  <c:v>26573.06834706659</c:v>
                </c:pt>
                <c:pt idx="26">
                  <c:v>27738.799030537219</c:v>
                </c:pt>
                <c:pt idx="27">
                  <c:v>28916.187020842601</c:v>
                </c:pt>
                <c:pt idx="28">
                  <c:v>30105.348891051028</c:v>
                </c:pt>
                <c:pt idx="29">
                  <c:v>31306.402379961564</c:v>
                </c:pt>
                <c:pt idx="30">
                  <c:v>32519.466403761136</c:v>
                </c:pt>
                <c:pt idx="31">
                  <c:v>33744.661067798777</c:v>
                </c:pt>
                <c:pt idx="32">
                  <c:v>34982.107678476772</c:v>
                </c:pt>
                <c:pt idx="33">
                  <c:v>36231.928755261542</c:v>
                </c:pt>
                <c:pt idx="34">
                  <c:v>37494.248042814135</c:v>
                </c:pt>
                <c:pt idx="35">
                  <c:v>38769.190523242294</c:v>
                </c:pt>
                <c:pt idx="36">
                  <c:v>40056.882428474717</c:v>
                </c:pt>
                <c:pt idx="37">
                  <c:v>41357.451252759478</c:v>
                </c:pt>
                <c:pt idx="38">
                  <c:v>42671.025765287035</c:v>
                </c:pt>
                <c:pt idx="39">
                  <c:v>43997.736022939942</c:v>
                </c:pt>
                <c:pt idx="40">
                  <c:v>45337.71338316935</c:v>
                </c:pt>
                <c:pt idx="41">
                  <c:v>46691.090517001059</c:v>
                </c:pt>
                <c:pt idx="42">
                  <c:v>48058.00142217103</c:v>
                </c:pt>
                <c:pt idx="43">
                  <c:v>49438.581436392749</c:v>
                </c:pt>
                <c:pt idx="44">
                  <c:v>50832.967250756687</c:v>
                </c:pt>
                <c:pt idx="45">
                  <c:v>52241.296923264272</c:v>
                </c:pt>
                <c:pt idx="46">
                  <c:v>53663.709892496867</c:v>
                </c:pt>
                <c:pt idx="47">
                  <c:v>55100.346991421873</c:v>
                </c:pt>
                <c:pt idx="48">
                  <c:v>56551.350461336107</c:v>
                </c:pt>
                <c:pt idx="49">
                  <c:v>58016.863965949487</c:v>
                </c:pt>
                <c:pt idx="50">
                  <c:v>59497.032605608947</c:v>
                </c:pt>
                <c:pt idx="51">
                  <c:v>60992.00293166504</c:v>
                </c:pt>
                <c:pt idx="52">
                  <c:v>62501.922960981668</c:v>
                </c:pt>
                <c:pt idx="53">
                  <c:v>64026.94219059153</c:v>
                </c:pt>
                <c:pt idx="54">
                  <c:v>65567.211612497413</c:v>
                </c:pt>
                <c:pt idx="55">
                  <c:v>67122.88372862243</c:v>
                </c:pt>
                <c:pt idx="56">
                  <c:v>68694.112565908654</c:v>
                </c:pt>
                <c:pt idx="57">
                  <c:v>70281.053691567737</c:v>
                </c:pt>
                <c:pt idx="58">
                  <c:v>71883.864228483362</c:v>
                </c:pt>
                <c:pt idx="59">
                  <c:v>73502.702870768218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0-420F-8893-536D4BD80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80541375"/>
        <c:axId val="1280541855"/>
      </c:lineChart>
      <c:catAx>
        <c:axId val="1280541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41855"/>
        <c:crosses val="autoZero"/>
        <c:auto val="1"/>
        <c:lblAlgn val="ctr"/>
        <c:lblOffset val="100"/>
        <c:noMultiLvlLbl val="0"/>
      </c:catAx>
      <c:valAx>
        <c:axId val="1280541855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4137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120650</xdr:rowOff>
    </xdr:from>
    <xdr:to>
      <xdr:col>4</xdr:col>
      <xdr:colOff>16494</xdr:colOff>
      <xdr:row>55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DC69D-F489-2EBB-4359-FA22AA097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62</xdr:row>
      <xdr:rowOff>24741</xdr:rowOff>
    </xdr:from>
    <xdr:to>
      <xdr:col>4</xdr:col>
      <xdr:colOff>0</xdr:colOff>
      <xdr:row>77</xdr:row>
      <xdr:rowOff>46512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2C17DD-E2B4-488A-B75E-F95EC739B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0</xdr:row>
      <xdr:rowOff>90714</xdr:rowOff>
    </xdr:from>
    <xdr:to>
      <xdr:col>4</xdr:col>
      <xdr:colOff>16494</xdr:colOff>
      <xdr:row>6</xdr:row>
      <xdr:rowOff>49481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966B4E-53F1-C080-A983-1BEC988E084E}"/>
            </a:ext>
          </a:extLst>
        </xdr:cNvPr>
        <xdr:cNvSpPr txBox="1"/>
      </xdr:nvSpPr>
      <xdr:spPr>
        <a:xfrm>
          <a:off x="610260" y="90714"/>
          <a:ext cx="6053117" cy="1047338"/>
        </a:xfrm>
        <a:prstGeom prst="rect">
          <a:avLst/>
        </a:prstGeom>
        <a:solidFill>
          <a:schemeClr val="accent4">
            <a:lumMod val="50000"/>
          </a:schemeClr>
        </a:solidFill>
        <a:ln w="57150"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Aptos Black" panose="020B0004020202020204" pitchFamily="34" charset="0"/>
              <a:ea typeface="Segoe UI Black" panose="020B0A02040204020203" pitchFamily="34" charset="0"/>
            </a:rPr>
            <a:t>FII Portfolio</a:t>
          </a:r>
        </a:p>
        <a:p>
          <a:pPr algn="ctr"/>
          <a:r>
            <a:rPr lang="en-US" sz="2000" b="1">
              <a:solidFill>
                <a:schemeClr val="bg1"/>
              </a:solidFill>
              <a:latin typeface="Aptos Black" panose="020B0004020202020204" pitchFamily="34" charset="0"/>
              <a:ea typeface="Segoe UI Black" panose="020B0A02040204020203" pitchFamily="34" charset="0"/>
            </a:rPr>
            <a:t>&amp;</a:t>
          </a:r>
        </a:p>
        <a:p>
          <a:pPr algn="ctr"/>
          <a:r>
            <a:rPr lang="en-US" sz="2000" b="1">
              <a:solidFill>
                <a:schemeClr val="bg1"/>
              </a:solidFill>
              <a:latin typeface="Aptos Black" panose="020B0004020202020204" pitchFamily="34" charset="0"/>
              <a:ea typeface="Segoe UI Black" panose="020B0A02040204020203" pitchFamily="34" charset="0"/>
            </a:rPr>
            <a:t>Scenario Analysis Dashboard</a:t>
          </a:r>
        </a:p>
      </xdr:txBody>
    </xdr:sp>
    <xdr:clientData/>
  </xdr:twoCellAnchor>
  <xdr:twoCellAnchor editAs="oneCell">
    <xdr:from>
      <xdr:col>1</xdr:col>
      <xdr:colOff>41234</xdr:colOff>
      <xdr:row>1</xdr:row>
      <xdr:rowOff>41233</xdr:rowOff>
    </xdr:from>
    <xdr:to>
      <xdr:col>1</xdr:col>
      <xdr:colOff>955634</xdr:colOff>
      <xdr:row>6</xdr:row>
      <xdr:rowOff>48491</xdr:rowOff>
    </xdr:to>
    <xdr:pic>
      <xdr:nvPicPr>
        <xdr:cNvPr id="8" name="Graphic 7" descr="Upward trend with solid fill">
          <a:extLst>
            <a:ext uri="{FF2B5EF4-FFF2-40B4-BE49-F238E27FC236}">
              <a16:creationId xmlns:a16="http://schemas.microsoft.com/office/drawing/2014/main" id="{3435CCCF-A505-E6F5-A220-452787A23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51494" y="222662"/>
          <a:ext cx="914400" cy="914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411F-3F60-4DA0-A671-544BA068F2EA}">
  <dimension ref="A7:H86"/>
  <sheetViews>
    <sheetView showGridLines="0" showRowColHeaders="0" tabSelected="1" topLeftCell="A28" zoomScale="87" zoomScaleNormal="77" workbookViewId="0">
      <selection activeCell="D55" sqref="D5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x14ac:dyDescent="0.35"/>
  <cols>
    <col min="1" max="1" width="8.7265625" customWidth="1"/>
    <col min="2" max="2" width="34.7265625" customWidth="1"/>
    <col min="3" max="4" width="25.81640625" bestFit="1" customWidth="1"/>
    <col min="5" max="5" width="19.08984375" bestFit="1" customWidth="1"/>
    <col min="6" max="6" width="3.08984375" hidden="1" customWidth="1"/>
    <col min="7" max="7" width="2.54296875" hidden="1" customWidth="1"/>
    <col min="8" max="8" width="3.08984375" hidden="1" customWidth="1"/>
    <col min="9" max="11" width="8.7265625" hidden="1" customWidth="1"/>
    <col min="12" max="16384" width="8.7265625" hidden="1"/>
  </cols>
  <sheetData>
    <row r="7" spans="2:4" ht="15" thickBot="1" x14ac:dyDescent="0.4"/>
    <row r="8" spans="2:4" ht="24.5" thickTop="1" thickBot="1" x14ac:dyDescent="0.6">
      <c r="B8" s="79" t="s">
        <v>6</v>
      </c>
      <c r="C8" s="80"/>
      <c r="D8" s="81"/>
    </row>
    <row r="9" spans="2:4" ht="17.5" customHeight="1" thickTop="1" thickBot="1" x14ac:dyDescent="0.5">
      <c r="B9" s="57"/>
      <c r="C9" s="58"/>
      <c r="D9" s="59" t="s">
        <v>33</v>
      </c>
    </row>
    <row r="10" spans="2:4" ht="17" thickTop="1" thickBot="1" x14ac:dyDescent="0.45">
      <c r="B10" s="68" t="s">
        <v>10</v>
      </c>
      <c r="C10" s="69"/>
      <c r="D10" s="55">
        <v>3000</v>
      </c>
    </row>
    <row r="11" spans="2:4" ht="17" thickTop="1" thickBot="1" x14ac:dyDescent="0.45">
      <c r="B11" s="68" t="s">
        <v>11</v>
      </c>
      <c r="C11" s="69"/>
      <c r="D11" s="56">
        <v>5.0000000000000001E-3</v>
      </c>
    </row>
    <row r="12" spans="2:4" ht="17" thickTop="1" thickBot="1" x14ac:dyDescent="0.45">
      <c r="B12" s="70" t="s">
        <v>12</v>
      </c>
      <c r="C12" s="71"/>
      <c r="D12" s="82">
        <f>D10*30%</f>
        <v>900</v>
      </c>
    </row>
    <row r="13" spans="2:4" ht="15.5" thickTop="1" thickBot="1" x14ac:dyDescent="0.4"/>
    <row r="14" spans="2:4" ht="24.5" thickTop="1" thickBot="1" x14ac:dyDescent="0.6">
      <c r="B14" s="72" t="s">
        <v>13</v>
      </c>
      <c r="C14" s="73"/>
      <c r="D14" s="74"/>
    </row>
    <row r="15" spans="2:4" ht="24.5" thickTop="1" thickBot="1" x14ac:dyDescent="0.6">
      <c r="B15" s="21"/>
      <c r="C15" s="24"/>
      <c r="D15" s="25" t="s">
        <v>33</v>
      </c>
    </row>
    <row r="16" spans="2:4" ht="17" thickTop="1" thickBot="1" x14ac:dyDescent="0.45">
      <c r="B16" s="75" t="s">
        <v>0</v>
      </c>
      <c r="C16" s="76"/>
      <c r="D16" s="6">
        <v>900</v>
      </c>
    </row>
    <row r="17" spans="1:4" ht="17" thickTop="1" thickBot="1" x14ac:dyDescent="0.45">
      <c r="B17" s="75" t="s">
        <v>14</v>
      </c>
      <c r="C17" s="76"/>
      <c r="D17" s="7">
        <v>5</v>
      </c>
    </row>
    <row r="18" spans="1:4" ht="17" thickTop="1" thickBot="1" x14ac:dyDescent="0.45">
      <c r="B18" s="75" t="s">
        <v>15</v>
      </c>
      <c r="C18" s="76"/>
      <c r="D18" s="8">
        <v>1.0800000000000001E-2</v>
      </c>
    </row>
    <row r="19" spans="1:4" ht="17" thickTop="1" thickBot="1" x14ac:dyDescent="0.45">
      <c r="B19" s="77" t="s">
        <v>16</v>
      </c>
      <c r="C19" s="78"/>
      <c r="D19" s="9">
        <f>FV(ReturnRate,Years*12,MonthlyInvestment)*-1</f>
        <v>75423.617423332587</v>
      </c>
    </row>
    <row r="20" spans="1:4" ht="17" thickTop="1" thickBot="1" x14ac:dyDescent="0.45">
      <c r="B20" s="66" t="s">
        <v>17</v>
      </c>
      <c r="C20" s="67"/>
      <c r="D20" s="10">
        <f>equity*PortfolioYield</f>
        <v>377.11808711666293</v>
      </c>
    </row>
    <row r="21" spans="1:4" ht="15.5" thickTop="1" thickBot="1" x14ac:dyDescent="0.4"/>
    <row r="22" spans="1:4" ht="24.5" thickTop="1" thickBot="1" x14ac:dyDescent="0.6">
      <c r="B22" s="72" t="s">
        <v>18</v>
      </c>
      <c r="C22" s="73"/>
      <c r="D22" s="74"/>
    </row>
    <row r="23" spans="1:4" ht="19.5" thickTop="1" thickBot="1" x14ac:dyDescent="0.5">
      <c r="B23" s="34" t="s">
        <v>34</v>
      </c>
      <c r="C23" s="23" t="s">
        <v>35</v>
      </c>
      <c r="D23" s="22" t="s">
        <v>19</v>
      </c>
    </row>
    <row r="24" spans="1:4" ht="17" thickTop="1" thickBot="1" x14ac:dyDescent="0.45">
      <c r="A24" s="1">
        <v>2</v>
      </c>
      <c r="B24" s="32" t="s">
        <v>1</v>
      </c>
      <c r="C24" s="2">
        <f>FV(ReturnRate,$A24*12,MonthlyInvestment)*-1</f>
        <v>24507.777294523432</v>
      </c>
      <c r="D24" s="3">
        <f>C24*PortfolioYield</f>
        <v>122.53888647261716</v>
      </c>
    </row>
    <row r="25" spans="1:4" ht="17" thickTop="1" thickBot="1" x14ac:dyDescent="0.45">
      <c r="A25" s="1">
        <v>5</v>
      </c>
      <c r="B25" s="32" t="s">
        <v>2</v>
      </c>
      <c r="C25" s="2">
        <f>FV(ReturnRate,$A25*12,MonthlyInvestment)*-1</f>
        <v>75423.617423332587</v>
      </c>
      <c r="D25" s="3">
        <f>C25*PortfolioYield</f>
        <v>377.11808711666293</v>
      </c>
    </row>
    <row r="26" spans="1:4" ht="17" thickTop="1" thickBot="1" x14ac:dyDescent="0.45">
      <c r="A26" s="1">
        <v>10</v>
      </c>
      <c r="B26" s="32" t="s">
        <v>3</v>
      </c>
      <c r="C26" s="2">
        <f>FV(ReturnRate,$A26*12,MonthlyInvestment)*-1</f>
        <v>219111.89962932011</v>
      </c>
      <c r="D26" s="3">
        <f>C26*PortfolioYield</f>
        <v>1095.5594981466006</v>
      </c>
    </row>
    <row r="27" spans="1:4" ht="17" thickTop="1" thickBot="1" x14ac:dyDescent="0.45">
      <c r="A27" s="1">
        <v>20</v>
      </c>
      <c r="B27" s="32" t="s">
        <v>4</v>
      </c>
      <c r="C27" s="2">
        <f>FV(ReturnRate,$A27*12,MonthlyInvestment)*-1</f>
        <v>1014344.093968671</v>
      </c>
      <c r="D27" s="3">
        <f>C27*PortfolioYield</f>
        <v>5071.7204698433552</v>
      </c>
    </row>
    <row r="28" spans="1:4" ht="17" thickTop="1" thickBot="1" x14ac:dyDescent="0.45">
      <c r="A28" s="1">
        <v>30</v>
      </c>
      <c r="B28" s="33" t="s">
        <v>5</v>
      </c>
      <c r="C28" s="4">
        <f>FV(ReturnRate,$A28*12,MonthlyInvestment)*-1</f>
        <v>3900514.3292850764</v>
      </c>
      <c r="D28" s="5">
        <f>C28*PortfolioYield</f>
        <v>19502.571646425382</v>
      </c>
    </row>
    <row r="29" spans="1:4" ht="15.5" thickTop="1" thickBot="1" x14ac:dyDescent="0.4"/>
    <row r="30" spans="1:4" ht="19.5" thickTop="1" thickBot="1" x14ac:dyDescent="0.5">
      <c r="B30" s="60" t="s">
        <v>7</v>
      </c>
      <c r="C30" s="61"/>
      <c r="D30" s="47" t="s">
        <v>29</v>
      </c>
    </row>
    <row r="31" spans="1:4" ht="16.5" thickTop="1" x14ac:dyDescent="0.4">
      <c r="B31" s="62" t="s">
        <v>20</v>
      </c>
      <c r="C31" s="62"/>
      <c r="D31" s="83">
        <f>MonthlyInvestment</f>
        <v>900</v>
      </c>
    </row>
    <row r="33" spans="2:4" x14ac:dyDescent="0.35">
      <c r="B33" s="29" t="s">
        <v>21</v>
      </c>
      <c r="C33" s="17" t="s">
        <v>36</v>
      </c>
      <c r="D33" s="17" t="s">
        <v>37</v>
      </c>
    </row>
    <row r="34" spans="2:4" x14ac:dyDescent="0.35">
      <c r="B34" s="30" t="s">
        <v>22</v>
      </c>
      <c r="C34" s="18">
        <f>VLOOKUP($D$30&amp;"-"&amp;B34,Profile!$A$3:$D$20,4,FALSE)</f>
        <v>0.3</v>
      </c>
      <c r="D34" s="13">
        <f t="shared" ref="D34:D39" si="0">C34*$D$31</f>
        <v>270</v>
      </c>
    </row>
    <row r="35" spans="2:4" x14ac:dyDescent="0.35">
      <c r="B35" s="30" t="s">
        <v>23</v>
      </c>
      <c r="C35" s="18">
        <f>VLOOKUP($D$30&amp;"-"&amp;B35,Profile!$A$3:$D$20,4,FALSE)</f>
        <v>0.5</v>
      </c>
      <c r="D35" s="13">
        <f t="shared" si="0"/>
        <v>450</v>
      </c>
    </row>
    <row r="36" spans="2:4" x14ac:dyDescent="0.35">
      <c r="B36" s="30" t="s">
        <v>24</v>
      </c>
      <c r="C36" s="18">
        <f>VLOOKUP($D$30&amp;"-"&amp;B36,Profile!$A$3:$D$20,4,FALSE)</f>
        <v>0.1</v>
      </c>
      <c r="D36" s="13">
        <f t="shared" si="0"/>
        <v>90</v>
      </c>
    </row>
    <row r="37" spans="2:4" x14ac:dyDescent="0.35">
      <c r="B37" s="30" t="s">
        <v>25</v>
      </c>
      <c r="C37" s="18">
        <f>VLOOKUP($D$30&amp;"-"&amp;B37,Profile!$A$3:$D$20,4,FALSE)</f>
        <v>0.1</v>
      </c>
      <c r="D37" s="13">
        <f t="shared" si="0"/>
        <v>90</v>
      </c>
    </row>
    <row r="38" spans="2:4" x14ac:dyDescent="0.35">
      <c r="B38" s="30" t="s">
        <v>26</v>
      </c>
      <c r="C38" s="18">
        <f>VLOOKUP($D$30&amp;"-"&amp;B38,Profile!$A$3:$D$20,4,FALSE)</f>
        <v>0</v>
      </c>
      <c r="D38" s="13">
        <f t="shared" si="0"/>
        <v>0</v>
      </c>
    </row>
    <row r="39" spans="2:4" x14ac:dyDescent="0.35">
      <c r="B39" s="30" t="s">
        <v>27</v>
      </c>
      <c r="C39" s="18">
        <f>VLOOKUP($D$30&amp;"-"&amp;B39,Profile!$A$3:$D$20,4,FALSE)</f>
        <v>0</v>
      </c>
      <c r="D39" s="13">
        <f t="shared" si="0"/>
        <v>0</v>
      </c>
    </row>
    <row r="40" spans="2:4" x14ac:dyDescent="0.35">
      <c r="B40" s="31" t="s">
        <v>28</v>
      </c>
      <c r="C40" s="12"/>
      <c r="D40" s="14">
        <f>SUM(D34:D39)</f>
        <v>900</v>
      </c>
    </row>
    <row r="57" spans="2:4" ht="15" thickBot="1" x14ac:dyDescent="0.4"/>
    <row r="58" spans="2:4" ht="22" thickTop="1" thickBot="1" x14ac:dyDescent="0.55000000000000004">
      <c r="B58" s="63" t="s">
        <v>38</v>
      </c>
      <c r="C58" s="64"/>
      <c r="D58" s="65"/>
    </row>
    <row r="59" spans="2:4" ht="19.5" thickTop="1" thickBot="1" x14ac:dyDescent="0.5">
      <c r="B59" s="52" t="s">
        <v>46</v>
      </c>
      <c r="C59" s="24"/>
      <c r="D59" s="49" t="s">
        <v>44</v>
      </c>
    </row>
    <row r="60" spans="2:4" ht="19.5" thickTop="1" thickBot="1" x14ac:dyDescent="0.5">
      <c r="B60" s="28" t="s">
        <v>40</v>
      </c>
      <c r="C60" s="23" t="s">
        <v>47</v>
      </c>
      <c r="D60" s="48" t="s">
        <v>42</v>
      </c>
    </row>
    <row r="61" spans="2:4" ht="15.5" thickTop="1" thickBot="1" x14ac:dyDescent="0.4">
      <c r="B61" s="50" cm="1">
        <f t="array" ref="B61:D61">_xlfn.XLOOKUP(D59,Scenario_Analysis!A2:A5,Scenario_Analysis!B2:D5)</f>
        <v>0.01</v>
      </c>
      <c r="C61" s="51">
        <v>73502.702870768218</v>
      </c>
      <c r="D61" s="54">
        <v>735.02702870768223</v>
      </c>
    </row>
    <row r="62" spans="2:4" ht="15" thickTop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</sheetData>
  <mergeCells count="14">
    <mergeCell ref="B8:D8"/>
    <mergeCell ref="B30:C30"/>
    <mergeCell ref="B31:C31"/>
    <mergeCell ref="B58:D58"/>
    <mergeCell ref="B20:C20"/>
    <mergeCell ref="B10:C10"/>
    <mergeCell ref="B11:C11"/>
    <mergeCell ref="B12:C12"/>
    <mergeCell ref="B22:D22"/>
    <mergeCell ref="B14:D14"/>
    <mergeCell ref="B16:C16"/>
    <mergeCell ref="B17:C17"/>
    <mergeCell ref="B18:C18"/>
    <mergeCell ref="B19:C19"/>
  </mergeCells>
  <dataValidations count="1">
    <dataValidation type="list" allowBlank="1" showInputMessage="1" showErrorMessage="1" sqref="D30" xr:uid="{2AC87AB0-A362-41E8-AB45-A1BE200B6F3D}">
      <formula1>"Aggressive, Conservative,Moderate"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CCD75B-87FF-464D-BFBF-45B94243E60F}">
          <x14:formula1>
            <xm:f>Scenario_Analysis!$A$3:$A$5</xm:f>
          </x14:formula1>
          <xm:sqref>D59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C649-EE21-4EF2-890F-273D35133AA9}">
  <dimension ref="A1:D68"/>
  <sheetViews>
    <sheetView workbookViewId="0">
      <selection activeCell="J13" sqref="J13"/>
    </sheetView>
  </sheetViews>
  <sheetFormatPr defaultRowHeight="14.5" x14ac:dyDescent="0.35"/>
  <cols>
    <col min="1" max="1" width="13.1796875" bestFit="1" customWidth="1"/>
    <col min="2" max="2" width="21.81640625" bestFit="1" customWidth="1"/>
    <col min="3" max="3" width="24.90625" bestFit="1" customWidth="1"/>
    <col min="4" max="4" width="18.6328125" bestFit="1" customWidth="1"/>
  </cols>
  <sheetData>
    <row r="1" spans="1:4" ht="22" thickTop="1" thickBot="1" x14ac:dyDescent="0.55000000000000004">
      <c r="A1" s="63" t="s">
        <v>38</v>
      </c>
      <c r="B1" s="64"/>
      <c r="C1" s="64"/>
      <c r="D1" s="65"/>
    </row>
    <row r="2" spans="1:4" ht="19.5" thickTop="1" thickBot="1" x14ac:dyDescent="0.5">
      <c r="A2" s="28" t="s">
        <v>39</v>
      </c>
      <c r="B2" s="26" t="s">
        <v>40</v>
      </c>
      <c r="C2" s="26" t="s">
        <v>41</v>
      </c>
      <c r="D2" s="27" t="s">
        <v>42</v>
      </c>
    </row>
    <row r="3" spans="1:4" ht="17" thickTop="1" thickBot="1" x14ac:dyDescent="0.45">
      <c r="A3" s="35" t="s">
        <v>43</v>
      </c>
      <c r="B3" s="36">
        <v>8.0000000000000002E-3</v>
      </c>
      <c r="C3" s="37">
        <f>FV(B3,Years*12,-MonthlyInvestment,0)</f>
        <v>68961.480148692193</v>
      </c>
      <c r="D3" s="38">
        <f>C3*B3</f>
        <v>551.69184118953751</v>
      </c>
    </row>
    <row r="4" spans="1:4" ht="17" thickTop="1" thickBot="1" x14ac:dyDescent="0.45">
      <c r="A4" s="39" t="s">
        <v>44</v>
      </c>
      <c r="B4" s="40">
        <v>0.01</v>
      </c>
      <c r="C4" s="41">
        <f>FV(B4,Years*12,-MonthlyInvestment,0)</f>
        <v>73502.702870768218</v>
      </c>
      <c r="D4" s="42">
        <f>C4*B4</f>
        <v>735.02702870768223</v>
      </c>
    </row>
    <row r="5" spans="1:4" ht="17" thickTop="1" thickBot="1" x14ac:dyDescent="0.45">
      <c r="A5" s="43" t="s">
        <v>45</v>
      </c>
      <c r="B5" s="44">
        <v>1.2E-2</v>
      </c>
      <c r="C5" s="45">
        <f>FV(B5,Years*12,-MonthlyInvestment,0)</f>
        <v>78423.545104868113</v>
      </c>
      <c r="D5" s="46">
        <f>C5*B5</f>
        <v>941.08254125841734</v>
      </c>
    </row>
    <row r="6" spans="1:4" ht="15" thickTop="1" x14ac:dyDescent="0.35"/>
    <row r="8" spans="1:4" x14ac:dyDescent="0.35">
      <c r="A8" t="s">
        <v>48</v>
      </c>
      <c r="B8" t="s">
        <v>49</v>
      </c>
    </row>
    <row r="9" spans="1:4" x14ac:dyDescent="0.35">
      <c r="A9">
        <v>1</v>
      </c>
      <c r="B9" s="53">
        <f>FV(
_xlfn.XLOOKUP(Sheet1!$D$59,Scenario_Analysis!$A$3:$A$5,Scenario_Analysis!$B$3:$B$5),Scenario_Analysis!A9,-MonthlyInvestment,0)</f>
        <v>900.0000000000008</v>
      </c>
    </row>
    <row r="10" spans="1:4" x14ac:dyDescent="0.35">
      <c r="A10">
        <v>2</v>
      </c>
      <c r="B10" s="53">
        <f>FV(
_xlfn.XLOOKUP(Sheet1!$D$59,Scenario_Analysis!$A$3:$A$5,Scenario_Analysis!$B$3:$B$5),Scenario_Analysis!A10,-MonthlyInvestment,0)</f>
        <v>1809.0000000000007</v>
      </c>
    </row>
    <row r="11" spans="1:4" x14ac:dyDescent="0.35">
      <c r="A11">
        <v>3</v>
      </c>
      <c r="B11" s="53">
        <f>FV(
_xlfn.XLOOKUP(Sheet1!$D$59,Scenario_Analysis!$A$3:$A$5,Scenario_Analysis!$B$3:$B$5),Scenario_Analysis!A11,-MonthlyInvestment,0)</f>
        <v>2727.089999999992</v>
      </c>
    </row>
    <row r="12" spans="1:4" x14ac:dyDescent="0.35">
      <c r="A12">
        <v>4</v>
      </c>
      <c r="B12" s="53">
        <f>FV(
_xlfn.XLOOKUP(Sheet1!$D$59,Scenario_Analysis!$A$3:$A$5,Scenario_Analysis!$B$3:$B$5),Scenario_Analysis!A12,-MonthlyInvestment,0)</f>
        <v>3654.3609000000019</v>
      </c>
    </row>
    <row r="13" spans="1:4" x14ac:dyDescent="0.35">
      <c r="A13">
        <v>5</v>
      </c>
      <c r="B13" s="53">
        <f>FV(
_xlfn.XLOOKUP(Sheet1!$D$59,Scenario_Analysis!$A$3:$A$5,Scenario_Analysis!$B$3:$B$5),Scenario_Analysis!A13,-MonthlyInvestment,0)</f>
        <v>4590.9045089999936</v>
      </c>
    </row>
    <row r="14" spans="1:4" x14ac:dyDescent="0.35">
      <c r="A14">
        <v>6</v>
      </c>
      <c r="B14" s="53">
        <f>FV(
_xlfn.XLOOKUP(Sheet1!$D$59,Scenario_Analysis!$A$3:$A$5,Scenario_Analysis!$B$3:$B$5),Scenario_Analysis!A14,-MonthlyInvestment,0)</f>
        <v>5536.8135540900121</v>
      </c>
    </row>
    <row r="15" spans="1:4" x14ac:dyDescent="0.35">
      <c r="A15">
        <v>7</v>
      </c>
      <c r="B15" s="53">
        <f>FV(
_xlfn.XLOOKUP(Sheet1!$D$59,Scenario_Analysis!$A$3:$A$5,Scenario_Analysis!$B$3:$B$5),Scenario_Analysis!A15,-MonthlyInvestment,0)</f>
        <v>6492.1816896308846</v>
      </c>
    </row>
    <row r="16" spans="1:4" x14ac:dyDescent="0.35">
      <c r="A16">
        <v>8</v>
      </c>
      <c r="B16" s="53">
        <f>FV(
_xlfn.XLOOKUP(Sheet1!$D$59,Scenario_Analysis!$A$3:$A$5,Scenario_Analysis!$B$3:$B$5),Scenario_Analysis!A16,-MonthlyInvestment,0)</f>
        <v>7457.1035065272199</v>
      </c>
    </row>
    <row r="17" spans="1:2" x14ac:dyDescent="0.35">
      <c r="A17">
        <v>9</v>
      </c>
      <c r="B17" s="53">
        <f>FV(
_xlfn.XLOOKUP(Sheet1!$D$59,Scenario_Analysis!$A$3:$A$5,Scenario_Analysis!$B$3:$B$5),Scenario_Analysis!A17,-MonthlyInvestment,0)</f>
        <v>8431.6745415924997</v>
      </c>
    </row>
    <row r="18" spans="1:2" x14ac:dyDescent="0.35">
      <c r="A18">
        <v>10</v>
      </c>
      <c r="B18" s="53">
        <f>FV(
_xlfn.XLOOKUP(Sheet1!$D$59,Scenario_Analysis!$A$3:$A$5,Scenario_Analysis!$B$3:$B$5),Scenario_Analysis!A18,-MonthlyInvestment,0)</f>
        <v>9415.9912870084263</v>
      </c>
    </row>
    <row r="19" spans="1:2" x14ac:dyDescent="0.35">
      <c r="A19">
        <v>11</v>
      </c>
      <c r="B19" s="53">
        <f>FV(
_xlfn.XLOOKUP(Sheet1!$D$59,Scenario_Analysis!$A$3:$A$5,Scenario_Analysis!$B$3:$B$5),Scenario_Analysis!A19,-MonthlyInvestment,0)</f>
        <v>10410.15119987849</v>
      </c>
    </row>
    <row r="20" spans="1:2" x14ac:dyDescent="0.35">
      <c r="A20">
        <v>12</v>
      </c>
      <c r="B20" s="53">
        <f>FV(
_xlfn.XLOOKUP(Sheet1!$D$59,Scenario_Analysis!$A$3:$A$5,Scenario_Analysis!$B$3:$B$5),Scenario_Analysis!A20,-MonthlyInvestment,0)</f>
        <v>11414.25271187728</v>
      </c>
    </row>
    <row r="21" spans="1:2" x14ac:dyDescent="0.35">
      <c r="A21">
        <v>13</v>
      </c>
      <c r="B21" s="53">
        <f>FV(
_xlfn.XLOOKUP(Sheet1!$D$59,Scenario_Analysis!$A$3:$A$5,Scenario_Analysis!$B$3:$B$5),Scenario_Analysis!A21,-MonthlyInvestment,0)</f>
        <v>12428.395238996056</v>
      </c>
    </row>
    <row r="22" spans="1:2" x14ac:dyDescent="0.35">
      <c r="A22">
        <v>14</v>
      </c>
      <c r="B22" s="53">
        <f>FV(
_xlfn.XLOOKUP(Sheet1!$D$59,Scenario_Analysis!$A$3:$A$5,Scenario_Analysis!$B$3:$B$5),Scenario_Analysis!A22,-MonthlyInvestment,0)</f>
        <v>13452.679191386029</v>
      </c>
    </row>
    <row r="23" spans="1:2" x14ac:dyDescent="0.35">
      <c r="A23">
        <v>15</v>
      </c>
      <c r="B23" s="53">
        <f>FV(
_xlfn.XLOOKUP(Sheet1!$D$59,Scenario_Analysis!$A$3:$A$5,Scenario_Analysis!$B$3:$B$5),Scenario_Analysis!A23,-MonthlyInvestment,0)</f>
        <v>14487.20598329986</v>
      </c>
    </row>
    <row r="24" spans="1:2" x14ac:dyDescent="0.35">
      <c r="A24">
        <v>16</v>
      </c>
      <c r="B24" s="53">
        <f>FV(
_xlfn.XLOOKUP(Sheet1!$D$59,Scenario_Analysis!$A$3:$A$5,Scenario_Analysis!$B$3:$B$5),Scenario_Analysis!A24,-MonthlyInvestment,0)</f>
        <v>15532.078043132891</v>
      </c>
    </row>
    <row r="25" spans="1:2" x14ac:dyDescent="0.35">
      <c r="A25">
        <v>17</v>
      </c>
      <c r="B25" s="53">
        <f>FV(
_xlfn.XLOOKUP(Sheet1!$D$59,Scenario_Analysis!$A$3:$A$5,Scenario_Analysis!$B$3:$B$5),Scenario_Analysis!A25,-MonthlyInvestment,0)</f>
        <v>16587.398823564225</v>
      </c>
    </row>
    <row r="26" spans="1:2" x14ac:dyDescent="0.35">
      <c r="A26">
        <v>18</v>
      </c>
      <c r="B26" s="53">
        <f>FV(
_xlfn.XLOOKUP(Sheet1!$D$59,Scenario_Analysis!$A$3:$A$5,Scenario_Analysis!$B$3:$B$5),Scenario_Analysis!A26,-MonthlyInvestment,0)</f>
        <v>17653.27281179987</v>
      </c>
    </row>
    <row r="27" spans="1:2" x14ac:dyDescent="0.35">
      <c r="A27">
        <v>19</v>
      </c>
      <c r="B27" s="53">
        <f>FV(
_xlfn.XLOOKUP(Sheet1!$D$59,Scenario_Analysis!$A$3:$A$5,Scenario_Analysis!$B$3:$B$5),Scenario_Analysis!A27,-MonthlyInvestment,0)</f>
        <v>18729.805539917845</v>
      </c>
    </row>
    <row r="28" spans="1:2" x14ac:dyDescent="0.35">
      <c r="A28">
        <v>20</v>
      </c>
      <c r="B28" s="53">
        <f>FV(
_xlfn.XLOOKUP(Sheet1!$D$59,Scenario_Analysis!$A$3:$A$5,Scenario_Analysis!$B$3:$B$5),Scenario_Analysis!A28,-MonthlyInvestment,0)</f>
        <v>19817.103595317036</v>
      </c>
    </row>
    <row r="29" spans="1:2" x14ac:dyDescent="0.35">
      <c r="A29">
        <v>21</v>
      </c>
      <c r="B29" s="53">
        <f>FV(
_xlfn.XLOOKUP(Sheet1!$D$59,Scenario_Analysis!$A$3:$A$5,Scenario_Analysis!$B$3:$B$5),Scenario_Analysis!A29,-MonthlyInvestment,0)</f>
        <v>20915.274631270193</v>
      </c>
    </row>
    <row r="30" spans="1:2" x14ac:dyDescent="0.35">
      <c r="A30">
        <v>22</v>
      </c>
      <c r="B30" s="53">
        <f>FV(
_xlfn.XLOOKUP(Sheet1!$D$59,Scenario_Analysis!$A$3:$A$5,Scenario_Analysis!$B$3:$B$5),Scenario_Analysis!A30,-MonthlyInvestment,0)</f>
        <v>22024.427377582924</v>
      </c>
    </row>
    <row r="31" spans="1:2" x14ac:dyDescent="0.35">
      <c r="A31">
        <v>23</v>
      </c>
      <c r="B31" s="53">
        <f>FV(
_xlfn.XLOOKUP(Sheet1!$D$59,Scenario_Analysis!$A$3:$A$5,Scenario_Analysis!$B$3:$B$5),Scenario_Analysis!A31,-MonthlyInvestment,0)</f>
        <v>23144.671651358734</v>
      </c>
    </row>
    <row r="32" spans="1:2" x14ac:dyDescent="0.35">
      <c r="A32">
        <v>24</v>
      </c>
      <c r="B32" s="53">
        <f>FV(
_xlfn.XLOOKUP(Sheet1!$D$59,Scenario_Analysis!$A$3:$A$5,Scenario_Analysis!$B$3:$B$5),Scenario_Analysis!A32,-MonthlyInvestment,0)</f>
        <v>24276.118367872346</v>
      </c>
    </row>
    <row r="33" spans="1:2" x14ac:dyDescent="0.35">
      <c r="A33">
        <v>25</v>
      </c>
      <c r="B33" s="53">
        <f>FV(
_xlfn.XLOOKUP(Sheet1!$D$59,Scenario_Analysis!$A$3:$A$5,Scenario_Analysis!$B$3:$B$5),Scenario_Analysis!A33,-MonthlyInvestment,0)</f>
        <v>25418.879551551083</v>
      </c>
    </row>
    <row r="34" spans="1:2" x14ac:dyDescent="0.35">
      <c r="A34">
        <v>26</v>
      </c>
      <c r="B34" s="53">
        <f>FV(
_xlfn.XLOOKUP(Sheet1!$D$59,Scenario_Analysis!$A$3:$A$5,Scenario_Analysis!$B$3:$B$5),Scenario_Analysis!A34,-MonthlyInvestment,0)</f>
        <v>26573.06834706659</v>
      </c>
    </row>
    <row r="35" spans="1:2" x14ac:dyDescent="0.35">
      <c r="A35">
        <v>27</v>
      </c>
      <c r="B35" s="53">
        <f>FV(
_xlfn.XLOOKUP(Sheet1!$D$59,Scenario_Analysis!$A$3:$A$5,Scenario_Analysis!$B$3:$B$5),Scenario_Analysis!A35,-MonthlyInvestment,0)</f>
        <v>27738.799030537219</v>
      </c>
    </row>
    <row r="36" spans="1:2" x14ac:dyDescent="0.35">
      <c r="A36">
        <v>28</v>
      </c>
      <c r="B36" s="53">
        <f>FV(
_xlfn.XLOOKUP(Sheet1!$D$59,Scenario_Analysis!$A$3:$A$5,Scenario_Analysis!$B$3:$B$5),Scenario_Analysis!A36,-MonthlyInvestment,0)</f>
        <v>28916.187020842601</v>
      </c>
    </row>
    <row r="37" spans="1:2" x14ac:dyDescent="0.35">
      <c r="A37">
        <v>29</v>
      </c>
      <c r="B37" s="53">
        <f>FV(
_xlfn.XLOOKUP(Sheet1!$D$59,Scenario_Analysis!$A$3:$A$5,Scenario_Analysis!$B$3:$B$5),Scenario_Analysis!A37,-MonthlyInvestment,0)</f>
        <v>30105.348891051028</v>
      </c>
    </row>
    <row r="38" spans="1:2" x14ac:dyDescent="0.35">
      <c r="A38">
        <v>30</v>
      </c>
      <c r="B38" s="53">
        <f>FV(
_xlfn.XLOOKUP(Sheet1!$D$59,Scenario_Analysis!$A$3:$A$5,Scenario_Analysis!$B$3:$B$5),Scenario_Analysis!A38,-MonthlyInvestment,0)</f>
        <v>31306.402379961564</v>
      </c>
    </row>
    <row r="39" spans="1:2" x14ac:dyDescent="0.35">
      <c r="A39">
        <v>31</v>
      </c>
      <c r="B39" s="53">
        <f>FV(
_xlfn.XLOOKUP(Sheet1!$D$59,Scenario_Analysis!$A$3:$A$5,Scenario_Analysis!$B$3:$B$5),Scenario_Analysis!A39,-MonthlyInvestment,0)</f>
        <v>32519.466403761136</v>
      </c>
    </row>
    <row r="40" spans="1:2" x14ac:dyDescent="0.35">
      <c r="A40">
        <v>32</v>
      </c>
      <c r="B40" s="53">
        <f>FV(
_xlfn.XLOOKUP(Sheet1!$D$59,Scenario_Analysis!$A$3:$A$5,Scenario_Analysis!$B$3:$B$5),Scenario_Analysis!A40,-MonthlyInvestment,0)</f>
        <v>33744.661067798777</v>
      </c>
    </row>
    <row r="41" spans="1:2" x14ac:dyDescent="0.35">
      <c r="A41">
        <v>33</v>
      </c>
      <c r="B41" s="53">
        <f>FV(
_xlfn.XLOOKUP(Sheet1!$D$59,Scenario_Analysis!$A$3:$A$5,Scenario_Analysis!$B$3:$B$5),Scenario_Analysis!A41,-MonthlyInvestment,0)</f>
        <v>34982.107678476772</v>
      </c>
    </row>
    <row r="42" spans="1:2" x14ac:dyDescent="0.35">
      <c r="A42">
        <v>34</v>
      </c>
      <c r="B42" s="53">
        <f>FV(
_xlfn.XLOOKUP(Sheet1!$D$59,Scenario_Analysis!$A$3:$A$5,Scenario_Analysis!$B$3:$B$5),Scenario_Analysis!A42,-MonthlyInvestment,0)</f>
        <v>36231.928755261542</v>
      </c>
    </row>
    <row r="43" spans="1:2" x14ac:dyDescent="0.35">
      <c r="A43">
        <v>35</v>
      </c>
      <c r="B43" s="53">
        <f>FV(
_xlfn.XLOOKUP(Sheet1!$D$59,Scenario_Analysis!$A$3:$A$5,Scenario_Analysis!$B$3:$B$5),Scenario_Analysis!A43,-MonthlyInvestment,0)</f>
        <v>37494.248042814135</v>
      </c>
    </row>
    <row r="44" spans="1:2" x14ac:dyDescent="0.35">
      <c r="A44">
        <v>36</v>
      </c>
      <c r="B44" s="53">
        <f>FV(
_xlfn.XLOOKUP(Sheet1!$D$59,Scenario_Analysis!$A$3:$A$5,Scenario_Analysis!$B$3:$B$5),Scenario_Analysis!A44,-MonthlyInvestment,0)</f>
        <v>38769.190523242294</v>
      </c>
    </row>
    <row r="45" spans="1:2" x14ac:dyDescent="0.35">
      <c r="A45">
        <v>37</v>
      </c>
      <c r="B45" s="53">
        <f>FV(
_xlfn.XLOOKUP(Sheet1!$D$59,Scenario_Analysis!$A$3:$A$5,Scenario_Analysis!$B$3:$B$5),Scenario_Analysis!A45,-MonthlyInvestment,0)</f>
        <v>40056.882428474717</v>
      </c>
    </row>
    <row r="46" spans="1:2" x14ac:dyDescent="0.35">
      <c r="A46">
        <v>38</v>
      </c>
      <c r="B46" s="53">
        <f>FV(
_xlfn.XLOOKUP(Sheet1!$D$59,Scenario_Analysis!$A$3:$A$5,Scenario_Analysis!$B$3:$B$5),Scenario_Analysis!A46,-MonthlyInvestment,0)</f>
        <v>41357.451252759478</v>
      </c>
    </row>
    <row r="47" spans="1:2" x14ac:dyDescent="0.35">
      <c r="A47">
        <v>39</v>
      </c>
      <c r="B47" s="53">
        <f>FV(
_xlfn.XLOOKUP(Sheet1!$D$59,Scenario_Analysis!$A$3:$A$5,Scenario_Analysis!$B$3:$B$5),Scenario_Analysis!A47,-MonthlyInvestment,0)</f>
        <v>42671.025765287035</v>
      </c>
    </row>
    <row r="48" spans="1:2" x14ac:dyDescent="0.35">
      <c r="A48">
        <v>40</v>
      </c>
      <c r="B48" s="53">
        <f>FV(
_xlfn.XLOOKUP(Sheet1!$D$59,Scenario_Analysis!$A$3:$A$5,Scenario_Analysis!$B$3:$B$5),Scenario_Analysis!A48,-MonthlyInvestment,0)</f>
        <v>43997.736022939942</v>
      </c>
    </row>
    <row r="49" spans="1:2" x14ac:dyDescent="0.35">
      <c r="A49">
        <v>41</v>
      </c>
      <c r="B49" s="53">
        <f>FV(
_xlfn.XLOOKUP(Sheet1!$D$59,Scenario_Analysis!$A$3:$A$5,Scenario_Analysis!$B$3:$B$5),Scenario_Analysis!A49,-MonthlyInvestment,0)</f>
        <v>45337.71338316935</v>
      </c>
    </row>
    <row r="50" spans="1:2" x14ac:dyDescent="0.35">
      <c r="A50">
        <v>42</v>
      </c>
      <c r="B50" s="53">
        <f>FV(
_xlfn.XLOOKUP(Sheet1!$D$59,Scenario_Analysis!$A$3:$A$5,Scenario_Analysis!$B$3:$B$5),Scenario_Analysis!A50,-MonthlyInvestment,0)</f>
        <v>46691.090517001059</v>
      </c>
    </row>
    <row r="51" spans="1:2" x14ac:dyDescent="0.35">
      <c r="A51">
        <v>43</v>
      </c>
      <c r="B51" s="53">
        <f>FV(
_xlfn.XLOOKUP(Sheet1!$D$59,Scenario_Analysis!$A$3:$A$5,Scenario_Analysis!$B$3:$B$5),Scenario_Analysis!A51,-MonthlyInvestment,0)</f>
        <v>48058.00142217103</v>
      </c>
    </row>
    <row r="52" spans="1:2" x14ac:dyDescent="0.35">
      <c r="A52">
        <v>44</v>
      </c>
      <c r="B52" s="53">
        <f>FV(
_xlfn.XLOOKUP(Sheet1!$D$59,Scenario_Analysis!$A$3:$A$5,Scenario_Analysis!$B$3:$B$5),Scenario_Analysis!A52,-MonthlyInvestment,0)</f>
        <v>49438.581436392749</v>
      </c>
    </row>
    <row r="53" spans="1:2" x14ac:dyDescent="0.35">
      <c r="A53">
        <v>45</v>
      </c>
      <c r="B53" s="53">
        <f>FV(
_xlfn.XLOOKUP(Sheet1!$D$59,Scenario_Analysis!$A$3:$A$5,Scenario_Analysis!$B$3:$B$5),Scenario_Analysis!A53,-MonthlyInvestment,0)</f>
        <v>50832.967250756687</v>
      </c>
    </row>
    <row r="54" spans="1:2" x14ac:dyDescent="0.35">
      <c r="A54">
        <v>46</v>
      </c>
      <c r="B54" s="53">
        <f>FV(
_xlfn.XLOOKUP(Sheet1!$D$59,Scenario_Analysis!$A$3:$A$5,Scenario_Analysis!$B$3:$B$5),Scenario_Analysis!A54,-MonthlyInvestment,0)</f>
        <v>52241.296923264272</v>
      </c>
    </row>
    <row r="55" spans="1:2" x14ac:dyDescent="0.35">
      <c r="A55">
        <v>47</v>
      </c>
      <c r="B55" s="53">
        <f>FV(
_xlfn.XLOOKUP(Sheet1!$D$59,Scenario_Analysis!$A$3:$A$5,Scenario_Analysis!$B$3:$B$5),Scenario_Analysis!A55,-MonthlyInvestment,0)</f>
        <v>53663.709892496867</v>
      </c>
    </row>
    <row r="56" spans="1:2" x14ac:dyDescent="0.35">
      <c r="A56">
        <v>48</v>
      </c>
      <c r="B56" s="53">
        <f>FV(
_xlfn.XLOOKUP(Sheet1!$D$59,Scenario_Analysis!$A$3:$A$5,Scenario_Analysis!$B$3:$B$5),Scenario_Analysis!A56,-MonthlyInvestment,0)</f>
        <v>55100.346991421873</v>
      </c>
    </row>
    <row r="57" spans="1:2" x14ac:dyDescent="0.35">
      <c r="A57">
        <v>49</v>
      </c>
      <c r="B57" s="53">
        <f>FV(
_xlfn.XLOOKUP(Sheet1!$D$59,Scenario_Analysis!$A$3:$A$5,Scenario_Analysis!$B$3:$B$5),Scenario_Analysis!A57,-MonthlyInvestment,0)</f>
        <v>56551.350461336107</v>
      </c>
    </row>
    <row r="58" spans="1:2" x14ac:dyDescent="0.35">
      <c r="A58">
        <v>50</v>
      </c>
      <c r="B58" s="53">
        <f>FV(
_xlfn.XLOOKUP(Sheet1!$D$59,Scenario_Analysis!$A$3:$A$5,Scenario_Analysis!$B$3:$B$5),Scenario_Analysis!A58,-MonthlyInvestment,0)</f>
        <v>58016.863965949487</v>
      </c>
    </row>
    <row r="59" spans="1:2" x14ac:dyDescent="0.35">
      <c r="A59">
        <v>51</v>
      </c>
      <c r="B59" s="53">
        <f>FV(
_xlfn.XLOOKUP(Sheet1!$D$59,Scenario_Analysis!$A$3:$A$5,Scenario_Analysis!$B$3:$B$5),Scenario_Analysis!A59,-MonthlyInvestment,0)</f>
        <v>59497.032605608947</v>
      </c>
    </row>
    <row r="60" spans="1:2" x14ac:dyDescent="0.35">
      <c r="A60">
        <v>52</v>
      </c>
      <c r="B60" s="53">
        <f>FV(
_xlfn.XLOOKUP(Sheet1!$D$59,Scenario_Analysis!$A$3:$A$5,Scenario_Analysis!$B$3:$B$5),Scenario_Analysis!A60,-MonthlyInvestment,0)</f>
        <v>60992.00293166504</v>
      </c>
    </row>
    <row r="61" spans="1:2" x14ac:dyDescent="0.35">
      <c r="A61">
        <v>53</v>
      </c>
      <c r="B61" s="53">
        <f>FV(
_xlfn.XLOOKUP(Sheet1!$D$59,Scenario_Analysis!$A$3:$A$5,Scenario_Analysis!$B$3:$B$5),Scenario_Analysis!A61,-MonthlyInvestment,0)</f>
        <v>62501.922960981668</v>
      </c>
    </row>
    <row r="62" spans="1:2" x14ac:dyDescent="0.35">
      <c r="A62">
        <v>54</v>
      </c>
      <c r="B62" s="53">
        <f>FV(
_xlfn.XLOOKUP(Sheet1!$D$59,Scenario_Analysis!$A$3:$A$5,Scenario_Analysis!$B$3:$B$5),Scenario_Analysis!A62,-MonthlyInvestment,0)</f>
        <v>64026.94219059153</v>
      </c>
    </row>
    <row r="63" spans="1:2" x14ac:dyDescent="0.35">
      <c r="A63">
        <v>55</v>
      </c>
      <c r="B63" s="53">
        <f>FV(
_xlfn.XLOOKUP(Sheet1!$D$59,Scenario_Analysis!$A$3:$A$5,Scenario_Analysis!$B$3:$B$5),Scenario_Analysis!A63,-MonthlyInvestment,0)</f>
        <v>65567.211612497413</v>
      </c>
    </row>
    <row r="64" spans="1:2" x14ac:dyDescent="0.35">
      <c r="A64">
        <v>56</v>
      </c>
      <c r="B64" s="53">
        <f>FV(
_xlfn.XLOOKUP(Sheet1!$D$59,Scenario_Analysis!$A$3:$A$5,Scenario_Analysis!$B$3:$B$5),Scenario_Analysis!A64,-MonthlyInvestment,0)</f>
        <v>67122.88372862243</v>
      </c>
    </row>
    <row r="65" spans="1:2" x14ac:dyDescent="0.35">
      <c r="A65">
        <v>57</v>
      </c>
      <c r="B65" s="53">
        <f>FV(
_xlfn.XLOOKUP(Sheet1!$D$59,Scenario_Analysis!$A$3:$A$5,Scenario_Analysis!$B$3:$B$5),Scenario_Analysis!A65,-MonthlyInvestment,0)</f>
        <v>68694.112565908654</v>
      </c>
    </row>
    <row r="66" spans="1:2" x14ac:dyDescent="0.35">
      <c r="A66">
        <v>58</v>
      </c>
      <c r="B66" s="53">
        <f>FV(
_xlfn.XLOOKUP(Sheet1!$D$59,Scenario_Analysis!$A$3:$A$5,Scenario_Analysis!$B$3:$B$5),Scenario_Analysis!A66,-MonthlyInvestment,0)</f>
        <v>70281.053691567737</v>
      </c>
    </row>
    <row r="67" spans="1:2" x14ac:dyDescent="0.35">
      <c r="A67">
        <v>59</v>
      </c>
      <c r="B67" s="53">
        <f>FV(
_xlfn.XLOOKUP(Sheet1!$D$59,Scenario_Analysis!$A$3:$A$5,Scenario_Analysis!$B$3:$B$5),Scenario_Analysis!A67,-MonthlyInvestment,0)</f>
        <v>71883.864228483362</v>
      </c>
    </row>
    <row r="68" spans="1:2" x14ac:dyDescent="0.35">
      <c r="A68">
        <v>60</v>
      </c>
      <c r="B68" s="53">
        <f>FV(
_xlfn.XLOOKUP(Sheet1!$D$59,Scenario_Analysis!$A$3:$A$5,Scenario_Analysis!$B$3:$B$5),Scenario_Analysis!A68,-MonthlyInvestment,0)</f>
        <v>73502.702870768218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85A2-EA02-4E9E-A6E7-7A6FE5F3E73B}">
  <dimension ref="A2:D20"/>
  <sheetViews>
    <sheetView workbookViewId="0">
      <selection activeCell="D24" sqref="D24"/>
    </sheetView>
  </sheetViews>
  <sheetFormatPr defaultRowHeight="14.5" x14ac:dyDescent="0.35"/>
  <cols>
    <col min="1" max="1" width="29.26953125" customWidth="1"/>
    <col min="2" max="2" width="13.54296875" customWidth="1"/>
    <col min="3" max="3" width="17.453125" bestFit="1" customWidth="1"/>
  </cols>
  <sheetData>
    <row r="2" spans="1:4" x14ac:dyDescent="0.35">
      <c r="A2" s="11" t="s">
        <v>9</v>
      </c>
      <c r="B2" s="11" t="s">
        <v>7</v>
      </c>
      <c r="C2" s="11" t="s">
        <v>32</v>
      </c>
      <c r="D2" s="17" t="s">
        <v>8</v>
      </c>
    </row>
    <row r="3" spans="1:4" x14ac:dyDescent="0.35">
      <c r="A3" t="str">
        <f>B3&amp;"-"&amp;C3</f>
        <v>Conservative-Paper</v>
      </c>
      <c r="B3" t="s">
        <v>29</v>
      </c>
      <c r="C3" s="15" t="s">
        <v>22</v>
      </c>
      <c r="D3" s="18">
        <v>0.3</v>
      </c>
    </row>
    <row r="4" spans="1:4" x14ac:dyDescent="0.35">
      <c r="A4" t="str">
        <f t="shared" ref="A4:A7" si="0">B4&amp;"-"&amp;C4</f>
        <v>Conservative-Brick</v>
      </c>
      <c r="B4" t="s">
        <v>29</v>
      </c>
      <c r="C4" s="15" t="s">
        <v>23</v>
      </c>
      <c r="D4" s="18">
        <v>0.5</v>
      </c>
    </row>
    <row r="5" spans="1:4" x14ac:dyDescent="0.35">
      <c r="A5" t="str">
        <f t="shared" si="0"/>
        <v>Conservative-Hybrid</v>
      </c>
      <c r="B5" t="s">
        <v>29</v>
      </c>
      <c r="C5" s="15" t="s">
        <v>24</v>
      </c>
      <c r="D5" s="18">
        <v>0.1</v>
      </c>
    </row>
    <row r="6" spans="1:4" x14ac:dyDescent="0.35">
      <c r="A6" t="str">
        <f t="shared" si="0"/>
        <v>Conservative-Funds of Funds</v>
      </c>
      <c r="B6" t="s">
        <v>29</v>
      </c>
      <c r="C6" s="15" t="s">
        <v>25</v>
      </c>
      <c r="D6" s="18">
        <v>0.1</v>
      </c>
    </row>
    <row r="7" spans="1:4" x14ac:dyDescent="0.35">
      <c r="A7" t="str">
        <f t="shared" si="0"/>
        <v>Conservative-Development</v>
      </c>
      <c r="B7" t="s">
        <v>29</v>
      </c>
      <c r="C7" s="15" t="s">
        <v>26</v>
      </c>
      <c r="D7" s="18">
        <v>0</v>
      </c>
    </row>
    <row r="8" spans="1:4" x14ac:dyDescent="0.35">
      <c r="A8" s="16" t="str">
        <f>B8&amp;"-"&amp;C8</f>
        <v>Conservative-Hospitality</v>
      </c>
      <c r="B8" s="16" t="s">
        <v>29</v>
      </c>
      <c r="C8" s="19" t="s">
        <v>27</v>
      </c>
      <c r="D8" s="20">
        <v>0</v>
      </c>
    </row>
    <row r="9" spans="1:4" x14ac:dyDescent="0.35">
      <c r="A9" t="str">
        <f>B9&amp;"-"&amp;C9</f>
        <v>Moderate-Paper</v>
      </c>
      <c r="B9" t="s">
        <v>30</v>
      </c>
      <c r="C9" s="15" t="s">
        <v>22</v>
      </c>
      <c r="D9" s="18">
        <v>0.32</v>
      </c>
    </row>
    <row r="10" spans="1:4" x14ac:dyDescent="0.35">
      <c r="A10" t="str">
        <f t="shared" ref="A10:A20" si="1">B10&amp;"-"&amp;C10</f>
        <v>Moderate-Brick</v>
      </c>
      <c r="B10" t="s">
        <v>30</v>
      </c>
      <c r="C10" s="15" t="s">
        <v>23</v>
      </c>
      <c r="D10" s="18">
        <v>0.35</v>
      </c>
    </row>
    <row r="11" spans="1:4" x14ac:dyDescent="0.35">
      <c r="A11" t="str">
        <f t="shared" si="1"/>
        <v>Moderate-Hybrid</v>
      </c>
      <c r="B11" t="s">
        <v>30</v>
      </c>
      <c r="C11" s="15" t="s">
        <v>24</v>
      </c>
      <c r="D11" s="18">
        <v>0.08</v>
      </c>
    </row>
    <row r="12" spans="1:4" x14ac:dyDescent="0.35">
      <c r="A12" t="str">
        <f t="shared" si="1"/>
        <v>Moderate-Funds of Funds</v>
      </c>
      <c r="B12" t="s">
        <v>30</v>
      </c>
      <c r="C12" s="15" t="s">
        <v>25</v>
      </c>
      <c r="D12" s="18">
        <v>0.05</v>
      </c>
    </row>
    <row r="13" spans="1:4" x14ac:dyDescent="0.35">
      <c r="A13" t="str">
        <f t="shared" si="1"/>
        <v>Moderate-Development</v>
      </c>
      <c r="B13" t="s">
        <v>30</v>
      </c>
      <c r="C13" s="15" t="s">
        <v>26</v>
      </c>
      <c r="D13" s="18">
        <v>0.1</v>
      </c>
    </row>
    <row r="14" spans="1:4" x14ac:dyDescent="0.35">
      <c r="A14" s="16" t="str">
        <f t="shared" si="1"/>
        <v>Moderate-Hospitality</v>
      </c>
      <c r="B14" s="16" t="s">
        <v>30</v>
      </c>
      <c r="C14" s="19" t="s">
        <v>27</v>
      </c>
      <c r="D14" s="20">
        <v>0.1</v>
      </c>
    </row>
    <row r="15" spans="1:4" x14ac:dyDescent="0.35">
      <c r="A15" t="str">
        <f t="shared" si="1"/>
        <v>Aggressive-Paper</v>
      </c>
      <c r="B15" t="s">
        <v>31</v>
      </c>
      <c r="C15" s="15" t="s">
        <v>22</v>
      </c>
      <c r="D15" s="18">
        <v>0.5</v>
      </c>
    </row>
    <row r="16" spans="1:4" x14ac:dyDescent="0.35">
      <c r="A16" t="str">
        <f t="shared" si="1"/>
        <v>Aggressive-Brick</v>
      </c>
      <c r="B16" t="s">
        <v>31</v>
      </c>
      <c r="C16" s="15" t="s">
        <v>23</v>
      </c>
      <c r="D16" s="18">
        <v>0.1</v>
      </c>
    </row>
    <row r="17" spans="1:4" x14ac:dyDescent="0.35">
      <c r="A17" t="str">
        <f t="shared" si="1"/>
        <v>Aggressive-Hybrid</v>
      </c>
      <c r="B17" t="s">
        <v>31</v>
      </c>
      <c r="C17" s="15" t="s">
        <v>24</v>
      </c>
      <c r="D17" s="18">
        <v>0.05</v>
      </c>
    </row>
    <row r="18" spans="1:4" x14ac:dyDescent="0.35">
      <c r="A18" t="str">
        <f t="shared" si="1"/>
        <v>Aggressive-Funds of Funds</v>
      </c>
      <c r="B18" t="s">
        <v>31</v>
      </c>
      <c r="C18" s="15" t="s">
        <v>25</v>
      </c>
      <c r="D18" s="18">
        <v>0.05</v>
      </c>
    </row>
    <row r="19" spans="1:4" x14ac:dyDescent="0.35">
      <c r="A19" t="str">
        <f t="shared" si="1"/>
        <v>Aggressive-Development</v>
      </c>
      <c r="B19" t="s">
        <v>31</v>
      </c>
      <c r="C19" s="15" t="s">
        <v>26</v>
      </c>
      <c r="D19" s="18">
        <v>0.2</v>
      </c>
    </row>
    <row r="20" spans="1:4" x14ac:dyDescent="0.35">
      <c r="A20" t="str">
        <f t="shared" si="1"/>
        <v>Aggressive-Hospitality</v>
      </c>
      <c r="B20" t="s">
        <v>31</v>
      </c>
      <c r="C20" s="15" t="s">
        <v>27</v>
      </c>
      <c r="D20" s="1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Scenario_Analysis</vt:lpstr>
      <vt:lpstr>Profile</vt:lpstr>
      <vt:lpstr>equity</vt:lpstr>
      <vt:lpstr>MonthlyInvestment</vt:lpstr>
      <vt:lpstr>PortfolioYield</vt:lpstr>
      <vt:lpstr>ReturnRate</vt:lpstr>
      <vt:lpstr>suggestion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Jackelyne Batista</dc:creator>
  <cp:lastModifiedBy>Amanda Jackelyne Batista</cp:lastModifiedBy>
  <dcterms:created xsi:type="dcterms:W3CDTF">2026-02-15T16:36:02Z</dcterms:created>
  <dcterms:modified xsi:type="dcterms:W3CDTF">2026-02-15T20:50:08Z</dcterms:modified>
</cp:coreProperties>
</file>